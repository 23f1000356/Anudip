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yvi\Downloads\Anudip\"/>
    </mc:Choice>
  </mc:AlternateContent>
  <xr:revisionPtr revIDLastSave="0" documentId="13_ncr:1_{DDE58BD5-F169-4C33-98F4-8A1739B85FDB}" xr6:coauthVersionLast="47" xr6:coauthVersionMax="47" xr10:uidLastSave="{00000000-0000-0000-0000-000000000000}"/>
  <bookViews>
    <workbookView xWindow="-108" yWindow="-108" windowWidth="23256" windowHeight="12456" xr2:uid="{B7506515-4838-468D-B874-5EBF127DE81C}"/>
  </bookViews>
  <sheets>
    <sheet name="Sheet1" sheetId="2" r:id="rId1"/>
    <sheet name="delivery_performance_datas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</calcChain>
</file>

<file path=xl/sharedStrings.xml><?xml version="1.0" encoding="utf-8"?>
<sst xmlns="http://schemas.openxmlformats.org/spreadsheetml/2006/main" count="309" uniqueCount="40">
  <si>
    <t>Order_ID</t>
  </si>
  <si>
    <t>Order_Date</t>
  </si>
  <si>
    <t>City</t>
  </si>
  <si>
    <t>Delivery_Status</t>
  </si>
  <si>
    <t>Delivery_Time_Days</t>
  </si>
  <si>
    <t>Product_Type</t>
  </si>
  <si>
    <t>Customer_Rating</t>
  </si>
  <si>
    <t>Delivery_Partner</t>
  </si>
  <si>
    <t>Payment_Type</t>
  </si>
  <si>
    <t>Order_Value</t>
  </si>
  <si>
    <t>Bangalore</t>
  </si>
  <si>
    <t>Cancelled</t>
  </si>
  <si>
    <t>Groceries</t>
  </si>
  <si>
    <t>DHL</t>
  </si>
  <si>
    <t>Card</t>
  </si>
  <si>
    <t>Pune</t>
  </si>
  <si>
    <t>Delayed</t>
  </si>
  <si>
    <t>Delhivery</t>
  </si>
  <si>
    <t>Mumbai</t>
  </si>
  <si>
    <t>Electronics</t>
  </si>
  <si>
    <t>Cash</t>
  </si>
  <si>
    <t>Delivered</t>
  </si>
  <si>
    <t>BlueDart</t>
  </si>
  <si>
    <t>UPI</t>
  </si>
  <si>
    <t>Delhi</t>
  </si>
  <si>
    <t>Clothing</t>
  </si>
  <si>
    <t>Delivery Category</t>
  </si>
  <si>
    <t>Rating Category</t>
  </si>
  <si>
    <t>Count orders per city</t>
  </si>
  <si>
    <t>Row Labels</t>
  </si>
  <si>
    <t>Grand Total</t>
  </si>
  <si>
    <t>Count of Order_ID</t>
  </si>
  <si>
    <t>Delivery Status Count</t>
  </si>
  <si>
    <t>Avg Delivery Time by Product Type</t>
  </si>
  <si>
    <t>Average of Delivery_Time_Days</t>
  </si>
  <si>
    <t>Delivery Partner Performance</t>
  </si>
  <si>
    <t>Customer Rating Distribution</t>
  </si>
  <si>
    <t>Feb</t>
  </si>
  <si>
    <t>Mar</t>
  </si>
  <si>
    <t>Delivery Partner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</si>
</sst>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[delivery_performance_dataset project.xlsx]Sheet1!PivotTable3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City-wise Order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Sheet1!$D$4:$D$8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Sheet1!$E$4:$E$8</c:f>
              <c:numCache>
                <c:formatCode>General</c:formatCode>
                <c:ptCount val="4"/>
                <c:pt idx="0">
                  <c:v>13</c:v>
                </c:pt>
                <c:pt idx="1">
                  <c:v>11</c:v>
                </c:pt>
                <c:pt idx="2">
                  <c:v>10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7-4F68-8146-BEEBEAF16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42031"/>
        <c:axId val="130546351"/>
      </c:barChart>
      <c:catAx>
        <c:axId val="13054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6351"/>
        <c:crosses val="autoZero"/>
        <c:auto val="1"/>
        <c:lblAlgn val="ctr"/>
        <c:lblOffset val="100"/>
        <c:noMultiLvlLbl val="0"/>
      </c:catAx>
      <c:valAx>
        <c:axId val="1305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[delivery_performance_dataset project.xlsx]Sheet1!PivotTable4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Delivery Status Breakdown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Sheet1!$H$4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43-4E57-BE90-AABD8F159C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43-4E57-BE90-AABD8F159C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43-4E57-BE90-AABD8F159C77}"/>
              </c:ext>
            </c:extLst>
          </c:dPt>
          <c:cat>
            <c:strRef>
              <c:f>Sheet1!$G$5:$G$8</c:f>
              <c:strCache>
                <c:ptCount val="3"/>
                <c:pt idx="0">
                  <c:v>Cancelled</c:v>
                </c:pt>
                <c:pt idx="1">
                  <c:v>Delayed</c:v>
                </c:pt>
                <c:pt idx="2">
                  <c:v>Delivered</c:v>
                </c:pt>
              </c:strCache>
            </c:strRef>
          </c:cat>
          <c:val>
            <c:numRef>
              <c:f>Sheet1!$H$5:$H$8</c:f>
              <c:numCache>
                <c:formatCode>General</c:formatCode>
                <c:ptCount val="3"/>
                <c:pt idx="0">
                  <c:v>15</c:v>
                </c:pt>
                <c:pt idx="1">
                  <c:v>23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D-49AC-AEF0-C30FCDB97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[delivery_performance_dataset project.xlsx]Sheet1!PivotTable6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Sheet1!$E$13</c:f>
              <c:strCache>
                <c:ptCount val="1"/>
                <c:pt idx="0">
                  <c:v>Average of Delivery_Time_Days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Sheet1!$D$14:$D$17</c:f>
              <c:strCache>
                <c:ptCount val="3"/>
                <c:pt idx="0">
                  <c:v>BlueDart</c:v>
                </c:pt>
                <c:pt idx="1">
                  <c:v>Delhivery</c:v>
                </c:pt>
                <c:pt idx="2">
                  <c:v>DHL</c:v>
                </c:pt>
              </c:strCache>
            </c:strRef>
          </c:cat>
          <c:val>
            <c:numRef>
              <c:f>Sheet1!$E$14:$E$17</c:f>
              <c:numCache>
                <c:formatCode>General</c:formatCode>
                <c:ptCount val="3"/>
                <c:pt idx="0">
                  <c:v>4.9375</c:v>
                </c:pt>
                <c:pt idx="1">
                  <c:v>5.7142857142857144</c:v>
                </c:pt>
                <c:pt idx="2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A-4C62-9391-07F575979C03}"/>
            </c:ext>
          </c:extLst>
        </c:ser>
        <c:ser>
          <c:idx val="1"/>
          <c:order val="1"/>
          <c:tx>
            <c:strRef>
              <c:f>Sheet1!$F$13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Sheet1!$D$14:$D$17</c:f>
              <c:strCache>
                <c:ptCount val="3"/>
                <c:pt idx="0">
                  <c:v>BlueDart</c:v>
                </c:pt>
                <c:pt idx="1">
                  <c:v>Delhivery</c:v>
                </c:pt>
                <c:pt idx="2">
                  <c:v>DHL</c:v>
                </c:pt>
              </c:strCache>
            </c:strRef>
          </c:cat>
          <c:val>
            <c:numRef>
              <c:f>Sheet1!$F$14:$F$17</c:f>
              <c:numCache>
                <c:formatCode>General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A-4C62-9391-07F575979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494719"/>
        <c:axId val="130478399"/>
      </c:barChart>
      <c:catAx>
        <c:axId val="13049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8399"/>
        <c:crosses val="autoZero"/>
        <c:auto val="1"/>
        <c:lblAlgn val="ctr"/>
        <c:lblOffset val="100"/>
        <c:noMultiLvlLbl val="0"/>
      </c:catAx>
      <c:valAx>
        <c:axId val="13047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9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[delivery_performance_dataset project.xlsx]Sheet1!PivotTable7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Rating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Sheet1!$I$14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A7-4AEB-9F1C-7B13ED882C6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A7-4AEB-9F1C-7B13ED882C6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A7-4AEB-9F1C-7B13ED882C6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A7-4AEB-9F1C-7B13ED882C6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4A7-4AEB-9F1C-7B13ED882C62}"/>
              </c:ext>
            </c:extLst>
          </c:dPt>
          <c:cat>
            <c:strRef>
              <c:f>Sheet1!$H$15:$H$20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Sheet1!$I$15:$I$20</c:f>
              <c:numCache>
                <c:formatCode>General</c:formatCode>
                <c:ptCount val="5"/>
                <c:pt idx="0">
                  <c:v>12</c:v>
                </c:pt>
                <c:pt idx="1">
                  <c:v>9</c:v>
                </c:pt>
                <c:pt idx="2">
                  <c:v>12</c:v>
                </c:pt>
                <c:pt idx="3">
                  <c:v>12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0-44C7-9610-F31666A83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[delivery_performance_dataset project.xlsx]Sheet1!PivotTable1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Sheet1!$J$5:$J$7</c:f>
              <c:strCache>
                <c:ptCount val="2"/>
                <c:pt idx="0">
                  <c:v>Feb</c:v>
                </c:pt>
                <c:pt idx="1">
                  <c:v>Mar</c:v>
                </c:pt>
              </c:strCache>
            </c:strRef>
          </c:cat>
          <c:val>
            <c:numRef>
              <c:f>Sheet1!$K$5:$K$7</c:f>
              <c:numCache>
                <c:formatCode>General</c:formatCode>
                <c:ptCount val="2"/>
                <c:pt idx="0">
                  <c:v>28</c:v>
                </c:pt>
                <c:pt idx="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D-4C46-8490-403847CCF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884655"/>
        <c:axId val="391885135"/>
      </c:lineChart>
      <c:catAx>
        <c:axId val="39188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85135"/>
        <c:crosses val="autoZero"/>
        <c:auto val="1"/>
        <c:lblAlgn val="ctr"/>
        <c:lblOffset val="100"/>
        <c:noMultiLvlLbl val="0"/>
      </c:catAx>
      <c:valAx>
        <c:axId val="39188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88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23</xdr:row>
      <xdr:rowOff>118110</xdr:rowOff>
    </xdr:from>
    <xdr:to>
      <xdr:col>4</xdr:col>
      <xdr:colOff>960120</xdr:colOff>
      <xdr:row>38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A7FFA6-E56B-EB02-D70F-1B6592F98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838200</xdr:colOff>
      <xdr:row>23</xdr:row>
      <xdr:rowOff>49530</xdr:rowOff>
    </xdr:from>
    <xdr:to>
      <xdr:col>10</xdr:col>
      <xdr:colOff>556260</xdr:colOff>
      <xdr:row>38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95B9AB-7F1E-085E-78D4-4703E55E4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274320</xdr:colOff>
      <xdr:row>42</xdr:row>
      <xdr:rowOff>49530</xdr:rowOff>
    </xdr:from>
    <xdr:to>
      <xdr:col>4</xdr:col>
      <xdr:colOff>944880</xdr:colOff>
      <xdr:row>57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F56C14-18F1-493D-E98E-38B68CC1B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68580</xdr:colOff>
      <xdr:row>60</xdr:row>
      <xdr:rowOff>140970</xdr:rowOff>
    </xdr:from>
    <xdr:to>
      <xdr:col>7</xdr:col>
      <xdr:colOff>662940</xdr:colOff>
      <xdr:row>75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FBDF84-895B-428F-70C1-A819DBD3E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22860</xdr:colOff>
      <xdr:row>42</xdr:row>
      <xdr:rowOff>19050</xdr:rowOff>
    </xdr:from>
    <xdr:to>
      <xdr:col>9</xdr:col>
      <xdr:colOff>960120</xdr:colOff>
      <xdr:row>57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22EE6E-A8EC-BF9E-C92E-1505A2577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kha roy" refreshedDate="46105.619279976854" createdVersion="8" refreshedVersion="8" minRefreshableVersion="3" recordCount="50" xr:uid="{0D04A29E-D125-41A3-8626-F0F67DDA414D}">
  <cacheSource type="worksheet">
    <worksheetSource ref="A1:L51" sheet="delivery_performance_dataset"/>
  </cacheSource>
  <cacheFields count="14">
    <cacheField name="Order_ID" numFmtId="0">
      <sharedItems containsSemiMixedTypes="0" containsString="0" containsNumber="1" containsInteger="1" minValue="2001" maxValue="2050"/>
    </cacheField>
    <cacheField name="Order_Date" numFmtId="14">
      <sharedItems containsSemiMixedTypes="0" containsNonDate="0" containsDate="1" containsString="0" minDate="2026-02-01T00:00:00" maxDate="2026-03-23T00:00:00" count="50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</sharedItems>
      <fieldGroup par="13"/>
    </cacheField>
    <cacheField name="City" numFmtId="0">
      <sharedItems count="4">
        <s v="Bangalore"/>
        <s v="Pune"/>
        <s v="Mumbai"/>
        <s v="Delhi"/>
      </sharedItems>
    </cacheField>
    <cacheField name="Delivery_Status" numFmtId="0">
      <sharedItems count="3">
        <s v="Cancelled"/>
        <s v="Delayed"/>
        <s v="Delivered"/>
      </sharedItems>
    </cacheField>
    <cacheField name="Delivery_Time_Days" numFmtId="0">
      <sharedItems containsSemiMixedTypes="0" containsString="0" containsNumber="1" containsInteger="1" minValue="1" maxValue="9"/>
    </cacheField>
    <cacheField name="Product_Type" numFmtId="0">
      <sharedItems count="3">
        <s v="Groceries"/>
        <s v="Electronics"/>
        <s v="Clothing"/>
      </sharedItems>
    </cacheField>
    <cacheField name="Customer_Rating" numFmtId="0">
      <sharedItems containsSemiMixedTypes="0" containsString="0" containsNumber="1" containsInteger="1" minValue="1" maxValue="5" count="5">
        <n v="1"/>
        <n v="2"/>
        <n v="4"/>
        <n v="3"/>
        <n v="5"/>
      </sharedItems>
    </cacheField>
    <cacheField name="Delivery_Partner" numFmtId="0">
      <sharedItems count="3">
        <s v="DHL"/>
        <s v="Delhivery"/>
        <s v="BlueDart"/>
      </sharedItems>
    </cacheField>
    <cacheField name="Payment_Type" numFmtId="0">
      <sharedItems/>
    </cacheField>
    <cacheField name="Order_Value" numFmtId="0">
      <sharedItems containsSemiMixedTypes="0" containsString="0" containsNumber="1" containsInteger="1" minValue="327" maxValue="4980"/>
    </cacheField>
    <cacheField name="Delivery Category" numFmtId="0">
      <sharedItems/>
    </cacheField>
    <cacheField name="Rating Category" numFmtId="0">
      <sharedItems/>
    </cacheField>
    <cacheField name="Days (Order_Date)" numFmtId="0" databaseField="0">
      <fieldGroup base="1">
        <rangePr groupBy="days" startDate="2026-02-01T00:00:00" endDate="2026-03-23T00:00:00"/>
        <groupItems count="368">
          <s v="&lt;01-02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3-2026"/>
        </groupItems>
      </fieldGroup>
    </cacheField>
    <cacheField name="Months (Order_Date)" numFmtId="0" databaseField="0">
      <fieldGroup base="1">
        <rangePr groupBy="months" startDate="2026-02-01T00:00:00" endDate="2026-03-23T00:00:00"/>
        <groupItems count="14">
          <s v="&lt;0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3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01"/>
    <x v="0"/>
    <x v="0"/>
    <x v="0"/>
    <n v="2"/>
    <x v="0"/>
    <x v="0"/>
    <x v="0"/>
    <s v="Card"/>
    <n v="3527"/>
    <s v="Fast"/>
    <s v="Poor"/>
  </r>
  <r>
    <n v="2002"/>
    <x v="1"/>
    <x v="1"/>
    <x v="1"/>
    <n v="5"/>
    <x v="0"/>
    <x v="1"/>
    <x v="1"/>
    <s v="Card"/>
    <n v="3594"/>
    <s v="Medium"/>
    <s v="Poor"/>
  </r>
  <r>
    <n v="2003"/>
    <x v="2"/>
    <x v="2"/>
    <x v="0"/>
    <n v="8"/>
    <x v="1"/>
    <x v="2"/>
    <x v="0"/>
    <s v="Cash"/>
    <n v="327"/>
    <s v="Slow"/>
    <s v="Good"/>
  </r>
  <r>
    <n v="2004"/>
    <x v="3"/>
    <x v="0"/>
    <x v="0"/>
    <n v="9"/>
    <x v="0"/>
    <x v="2"/>
    <x v="0"/>
    <s v="Cash"/>
    <n v="2265"/>
    <s v="Slow"/>
    <s v="Good"/>
  </r>
  <r>
    <n v="2005"/>
    <x v="4"/>
    <x v="0"/>
    <x v="2"/>
    <n v="9"/>
    <x v="0"/>
    <x v="1"/>
    <x v="2"/>
    <s v="Card"/>
    <n v="2016"/>
    <s v="Slow"/>
    <s v="Poor"/>
  </r>
  <r>
    <n v="2006"/>
    <x v="5"/>
    <x v="1"/>
    <x v="0"/>
    <n v="1"/>
    <x v="1"/>
    <x v="3"/>
    <x v="1"/>
    <s v="Card"/>
    <n v="769"/>
    <s v="Fast"/>
    <s v="Average"/>
  </r>
  <r>
    <n v="2007"/>
    <x v="6"/>
    <x v="2"/>
    <x v="2"/>
    <n v="9"/>
    <x v="1"/>
    <x v="0"/>
    <x v="1"/>
    <s v="UPI"/>
    <n v="2095"/>
    <s v="Slow"/>
    <s v="Poor"/>
  </r>
  <r>
    <n v="2008"/>
    <x v="7"/>
    <x v="2"/>
    <x v="0"/>
    <n v="7"/>
    <x v="0"/>
    <x v="4"/>
    <x v="2"/>
    <s v="Card"/>
    <n v="2933"/>
    <s v="Slow"/>
    <s v="Good"/>
  </r>
  <r>
    <n v="2009"/>
    <x v="8"/>
    <x v="0"/>
    <x v="0"/>
    <n v="9"/>
    <x v="0"/>
    <x v="0"/>
    <x v="2"/>
    <s v="UPI"/>
    <n v="4063"/>
    <s v="Slow"/>
    <s v="Poor"/>
  </r>
  <r>
    <n v="2010"/>
    <x v="9"/>
    <x v="3"/>
    <x v="2"/>
    <n v="8"/>
    <x v="0"/>
    <x v="0"/>
    <x v="1"/>
    <s v="UPI"/>
    <n v="4921"/>
    <s v="Slow"/>
    <s v="Poor"/>
  </r>
  <r>
    <n v="2011"/>
    <x v="10"/>
    <x v="0"/>
    <x v="2"/>
    <n v="1"/>
    <x v="2"/>
    <x v="3"/>
    <x v="1"/>
    <s v="UPI"/>
    <n v="4214"/>
    <s v="Fast"/>
    <s v="Average"/>
  </r>
  <r>
    <n v="2012"/>
    <x v="11"/>
    <x v="0"/>
    <x v="0"/>
    <n v="8"/>
    <x v="2"/>
    <x v="0"/>
    <x v="2"/>
    <s v="UPI"/>
    <n v="3101"/>
    <s v="Slow"/>
    <s v="Poor"/>
  </r>
  <r>
    <n v="2013"/>
    <x v="12"/>
    <x v="0"/>
    <x v="1"/>
    <n v="8"/>
    <x v="2"/>
    <x v="1"/>
    <x v="0"/>
    <s v="UPI"/>
    <n v="1886"/>
    <s v="Slow"/>
    <s v="Poor"/>
  </r>
  <r>
    <n v="2014"/>
    <x v="13"/>
    <x v="0"/>
    <x v="2"/>
    <n v="3"/>
    <x v="1"/>
    <x v="1"/>
    <x v="0"/>
    <s v="Cash"/>
    <n v="3209"/>
    <s v="Fast"/>
    <s v="Poor"/>
  </r>
  <r>
    <n v="2015"/>
    <x v="14"/>
    <x v="1"/>
    <x v="1"/>
    <n v="1"/>
    <x v="2"/>
    <x v="2"/>
    <x v="2"/>
    <s v="Card"/>
    <n v="354"/>
    <s v="Fast"/>
    <s v="Good"/>
  </r>
  <r>
    <n v="2016"/>
    <x v="15"/>
    <x v="2"/>
    <x v="1"/>
    <n v="8"/>
    <x v="1"/>
    <x v="4"/>
    <x v="0"/>
    <s v="UPI"/>
    <n v="2737"/>
    <s v="Slow"/>
    <s v="Good"/>
  </r>
  <r>
    <n v="2017"/>
    <x v="16"/>
    <x v="1"/>
    <x v="1"/>
    <n v="3"/>
    <x v="1"/>
    <x v="0"/>
    <x v="2"/>
    <s v="Card"/>
    <n v="1609"/>
    <s v="Fast"/>
    <s v="Poor"/>
  </r>
  <r>
    <n v="2018"/>
    <x v="17"/>
    <x v="1"/>
    <x v="2"/>
    <n v="3"/>
    <x v="2"/>
    <x v="0"/>
    <x v="0"/>
    <s v="Card"/>
    <n v="4257"/>
    <s v="Fast"/>
    <s v="Poor"/>
  </r>
  <r>
    <n v="2019"/>
    <x v="18"/>
    <x v="1"/>
    <x v="1"/>
    <n v="1"/>
    <x v="2"/>
    <x v="3"/>
    <x v="0"/>
    <s v="UPI"/>
    <n v="984"/>
    <s v="Fast"/>
    <s v="Average"/>
  </r>
  <r>
    <n v="2020"/>
    <x v="19"/>
    <x v="0"/>
    <x v="2"/>
    <n v="5"/>
    <x v="2"/>
    <x v="1"/>
    <x v="1"/>
    <s v="Cash"/>
    <n v="3375"/>
    <s v="Medium"/>
    <s v="Poor"/>
  </r>
  <r>
    <n v="2021"/>
    <x v="20"/>
    <x v="3"/>
    <x v="1"/>
    <n v="7"/>
    <x v="0"/>
    <x v="4"/>
    <x v="1"/>
    <s v="UPI"/>
    <n v="4541"/>
    <s v="Slow"/>
    <s v="Good"/>
  </r>
  <r>
    <n v="2022"/>
    <x v="21"/>
    <x v="2"/>
    <x v="0"/>
    <n v="9"/>
    <x v="2"/>
    <x v="2"/>
    <x v="0"/>
    <s v="Cash"/>
    <n v="3006"/>
    <s v="Slow"/>
    <s v="Good"/>
  </r>
  <r>
    <n v="2023"/>
    <x v="22"/>
    <x v="3"/>
    <x v="0"/>
    <n v="7"/>
    <x v="0"/>
    <x v="1"/>
    <x v="0"/>
    <s v="Card"/>
    <n v="737"/>
    <s v="Slow"/>
    <s v="Poor"/>
  </r>
  <r>
    <n v="2024"/>
    <x v="23"/>
    <x v="1"/>
    <x v="2"/>
    <n v="9"/>
    <x v="1"/>
    <x v="2"/>
    <x v="1"/>
    <s v="Cash"/>
    <n v="2041"/>
    <s v="Slow"/>
    <s v="Good"/>
  </r>
  <r>
    <n v="2025"/>
    <x v="24"/>
    <x v="1"/>
    <x v="0"/>
    <n v="8"/>
    <x v="0"/>
    <x v="3"/>
    <x v="1"/>
    <s v="Cash"/>
    <n v="2655"/>
    <s v="Slow"/>
    <s v="Average"/>
  </r>
  <r>
    <n v="2026"/>
    <x v="25"/>
    <x v="3"/>
    <x v="0"/>
    <n v="2"/>
    <x v="2"/>
    <x v="3"/>
    <x v="1"/>
    <s v="Cash"/>
    <n v="724"/>
    <s v="Fast"/>
    <s v="Average"/>
  </r>
  <r>
    <n v="2027"/>
    <x v="26"/>
    <x v="3"/>
    <x v="1"/>
    <n v="1"/>
    <x v="1"/>
    <x v="0"/>
    <x v="2"/>
    <s v="Card"/>
    <n v="3150"/>
    <s v="Fast"/>
    <s v="Poor"/>
  </r>
  <r>
    <n v="2028"/>
    <x v="27"/>
    <x v="3"/>
    <x v="2"/>
    <n v="7"/>
    <x v="1"/>
    <x v="4"/>
    <x v="0"/>
    <s v="Card"/>
    <n v="4331"/>
    <s v="Slow"/>
    <s v="Good"/>
  </r>
  <r>
    <n v="2029"/>
    <x v="28"/>
    <x v="1"/>
    <x v="1"/>
    <n v="7"/>
    <x v="1"/>
    <x v="2"/>
    <x v="1"/>
    <s v="Cash"/>
    <n v="4980"/>
    <s v="Slow"/>
    <s v="Good"/>
  </r>
  <r>
    <n v="2030"/>
    <x v="29"/>
    <x v="1"/>
    <x v="1"/>
    <n v="8"/>
    <x v="0"/>
    <x v="1"/>
    <x v="0"/>
    <s v="Cash"/>
    <n v="4315"/>
    <s v="Slow"/>
    <s v="Poor"/>
  </r>
  <r>
    <n v="2031"/>
    <x v="30"/>
    <x v="2"/>
    <x v="1"/>
    <n v="5"/>
    <x v="2"/>
    <x v="3"/>
    <x v="2"/>
    <s v="UPI"/>
    <n v="2568"/>
    <s v="Medium"/>
    <s v="Average"/>
  </r>
  <r>
    <n v="2032"/>
    <x v="31"/>
    <x v="2"/>
    <x v="1"/>
    <n v="3"/>
    <x v="1"/>
    <x v="0"/>
    <x v="2"/>
    <s v="Cash"/>
    <n v="4047"/>
    <s v="Fast"/>
    <s v="Poor"/>
  </r>
  <r>
    <n v="2033"/>
    <x v="32"/>
    <x v="1"/>
    <x v="1"/>
    <n v="8"/>
    <x v="1"/>
    <x v="0"/>
    <x v="1"/>
    <s v="UPI"/>
    <n v="4695"/>
    <s v="Slow"/>
    <s v="Poor"/>
  </r>
  <r>
    <n v="2034"/>
    <x v="33"/>
    <x v="3"/>
    <x v="1"/>
    <n v="6"/>
    <x v="1"/>
    <x v="2"/>
    <x v="2"/>
    <s v="Cash"/>
    <n v="2901"/>
    <s v="Medium"/>
    <s v="Good"/>
  </r>
  <r>
    <n v="2035"/>
    <x v="34"/>
    <x v="3"/>
    <x v="1"/>
    <n v="3"/>
    <x v="0"/>
    <x v="3"/>
    <x v="0"/>
    <s v="UPI"/>
    <n v="1171"/>
    <s v="Fast"/>
    <s v="Average"/>
  </r>
  <r>
    <n v="2036"/>
    <x v="35"/>
    <x v="2"/>
    <x v="2"/>
    <n v="1"/>
    <x v="0"/>
    <x v="4"/>
    <x v="1"/>
    <s v="Card"/>
    <n v="1366"/>
    <s v="Fast"/>
    <s v="Good"/>
  </r>
  <r>
    <n v="2037"/>
    <x v="36"/>
    <x v="1"/>
    <x v="0"/>
    <n v="3"/>
    <x v="2"/>
    <x v="3"/>
    <x v="0"/>
    <s v="Cash"/>
    <n v="2974"/>
    <s v="Fast"/>
    <s v="Average"/>
  </r>
  <r>
    <n v="2038"/>
    <x v="37"/>
    <x v="2"/>
    <x v="1"/>
    <n v="5"/>
    <x v="0"/>
    <x v="2"/>
    <x v="0"/>
    <s v="Cash"/>
    <n v="2182"/>
    <s v="Medium"/>
    <s v="Good"/>
  </r>
  <r>
    <n v="2039"/>
    <x v="38"/>
    <x v="2"/>
    <x v="1"/>
    <n v="3"/>
    <x v="1"/>
    <x v="2"/>
    <x v="2"/>
    <s v="Cash"/>
    <n v="1053"/>
    <s v="Fast"/>
    <s v="Good"/>
  </r>
  <r>
    <n v="2040"/>
    <x v="39"/>
    <x v="0"/>
    <x v="1"/>
    <n v="1"/>
    <x v="2"/>
    <x v="3"/>
    <x v="2"/>
    <s v="Cash"/>
    <n v="4346"/>
    <s v="Fast"/>
    <s v="Average"/>
  </r>
  <r>
    <n v="2041"/>
    <x v="40"/>
    <x v="0"/>
    <x v="1"/>
    <n v="5"/>
    <x v="1"/>
    <x v="2"/>
    <x v="2"/>
    <s v="UPI"/>
    <n v="3936"/>
    <s v="Medium"/>
    <s v="Good"/>
  </r>
  <r>
    <n v="2042"/>
    <x v="41"/>
    <x v="0"/>
    <x v="1"/>
    <n v="7"/>
    <x v="1"/>
    <x v="3"/>
    <x v="2"/>
    <s v="Cash"/>
    <n v="3969"/>
    <s v="Slow"/>
    <s v="Average"/>
  </r>
  <r>
    <n v="2043"/>
    <x v="42"/>
    <x v="3"/>
    <x v="1"/>
    <n v="7"/>
    <x v="0"/>
    <x v="1"/>
    <x v="2"/>
    <s v="Card"/>
    <n v="774"/>
    <s v="Slow"/>
    <s v="Poor"/>
  </r>
  <r>
    <n v="2044"/>
    <x v="43"/>
    <x v="1"/>
    <x v="0"/>
    <n v="9"/>
    <x v="2"/>
    <x v="3"/>
    <x v="1"/>
    <s v="Card"/>
    <n v="3461"/>
    <s v="Slow"/>
    <s v="Average"/>
  </r>
  <r>
    <n v="2045"/>
    <x v="44"/>
    <x v="1"/>
    <x v="0"/>
    <n v="3"/>
    <x v="0"/>
    <x v="3"/>
    <x v="0"/>
    <s v="Cash"/>
    <n v="1348"/>
    <s v="Fast"/>
    <s v="Average"/>
  </r>
  <r>
    <n v="2046"/>
    <x v="45"/>
    <x v="1"/>
    <x v="1"/>
    <n v="7"/>
    <x v="0"/>
    <x v="2"/>
    <x v="0"/>
    <s v="Card"/>
    <n v="1915"/>
    <s v="Slow"/>
    <s v="Good"/>
  </r>
  <r>
    <n v="2047"/>
    <x v="46"/>
    <x v="1"/>
    <x v="0"/>
    <n v="1"/>
    <x v="2"/>
    <x v="2"/>
    <x v="0"/>
    <s v="Cash"/>
    <n v="4977"/>
    <s v="Fast"/>
    <s v="Good"/>
  </r>
  <r>
    <n v="2048"/>
    <x v="47"/>
    <x v="0"/>
    <x v="2"/>
    <n v="4"/>
    <x v="1"/>
    <x v="0"/>
    <x v="0"/>
    <s v="Cash"/>
    <n v="4054"/>
    <s v="Medium"/>
    <s v="Poor"/>
  </r>
  <r>
    <n v="2049"/>
    <x v="48"/>
    <x v="3"/>
    <x v="1"/>
    <n v="4"/>
    <x v="1"/>
    <x v="0"/>
    <x v="2"/>
    <s v="Card"/>
    <n v="2691"/>
    <s v="Medium"/>
    <s v="Poor"/>
  </r>
  <r>
    <n v="2050"/>
    <x v="49"/>
    <x v="3"/>
    <x v="2"/>
    <n v="5"/>
    <x v="2"/>
    <x v="1"/>
    <x v="0"/>
    <s v="Cash"/>
    <n v="2860"/>
    <s v="Medium"/>
    <s v="Po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E735D-913B-41CF-99AA-DD8855596038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J4:K7" firstHeaderRow="1" firstDataRow="1" firstDataCol="1"/>
  <pivotFields count="14">
    <pivotField dataField="1"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1"/>
  </rowFields>
  <rowItems count="3">
    <i>
      <x v="2"/>
    </i>
    <i>
      <x v="3"/>
    </i>
    <i t="grand">
      <x/>
    </i>
  </rowItems>
  <colItems count="1">
    <i/>
  </colItems>
  <dataFields count="1">
    <dataField name="Count of Order_ID" fld="0" subtotal="count" baseField="7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670F7-E3BD-484D-9DB9-F0E601AE9F9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3:E8" firstHeaderRow="1" firstDataRow="1" firstDataCol="1"/>
  <pivotFields count="14">
    <pivotField dataField="1"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A8C763-BDDF-47C2-8DF6-3E6581E20ACE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0">
  <location ref="A3:B6" firstHeaderRow="1" firstDataRow="1" firstDataCol="1"/>
  <pivotFields count="14">
    <pivotField dataField="1"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1"/>
  </rowFields>
  <rowItems count="3">
    <i>
      <x v="2"/>
    </i>
    <i>
      <x v="3"/>
    </i>
    <i t="grand">
      <x/>
    </i>
  </rowItems>
  <colItems count="1">
    <i/>
  </colItems>
  <dataFields count="1">
    <dataField name="Count of Order_ID" fld="0" subtotal="count" baseField="7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D96F4-63DB-476D-9483-9149BFF7148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14:I20" firstHeaderRow="1" firstDataRow="1" firstDataCol="1"/>
  <pivotFields count="14">
    <pivotField dataField="1"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7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3F01F-58BC-4109-A56A-81B5E980300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D13:F17" firstHeaderRow="0" firstDataRow="1" firstDataCol="1"/>
  <pivotFields count="14">
    <pivotField dataField="1"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elivery_Time_Days" fld="4" subtotal="average" baseField="5" baseItem="0"/>
    <dataField name="Count of Order_ID" fld="0" subtotal="count" baseField="7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8C8B3-B2BA-4FDE-84C4-70C16CB67EE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6" firstHeaderRow="1" firstDataRow="1" firstDataCol="1"/>
  <pivotFields count="14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elivery_Time_Days" fld="4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67127-8E9A-41B0-BEFE-2CB22CA70E3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4:H8" firstHeaderRow="1" firstDataRow="1" firstDataCol="1"/>
  <pivotFields count="14">
    <pivotField dataField="1"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2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7EF9C-EC83-4172-993A-2E233B1087D1}" name="Table1" displayName="Table1" ref="A1:L51" totalsRowShown="0">
  <autoFilter ref="A1:L51" xr:uid="{1287EF9C-EC83-4172-993A-2E233B1087D1}"/>
  <tableColumns count="12">
    <tableColumn id="1" xr3:uid="{96AC8A9A-4B3C-408E-8C11-F8E8B069C5D7}" name="Order_ID"/>
    <tableColumn id="2" xr3:uid="{358EACC7-AC9C-4DC3-9D88-962D916DFE32}" name="Order_Date" dataDxfId="2"/>
    <tableColumn id="3" xr3:uid="{EACF5DE4-ACDF-41C6-A437-FE65BED3D073}" name="City"/>
    <tableColumn id="4" xr3:uid="{B7BF732D-BF89-47FE-A132-B8F32F91384D}" name="Delivery_Status"/>
    <tableColumn id="5" xr3:uid="{9C727D45-ADC2-4428-A4BC-C9A3DB553974}" name="Delivery_Time_Days"/>
    <tableColumn id="6" xr3:uid="{FD40BD27-E4BD-4324-8DA2-D007B484FE56}" name="Product_Type"/>
    <tableColumn id="7" xr3:uid="{CF6FFE85-7B4A-4E57-A1F9-D82B0FE9EBED}" name="Customer_Rating"/>
    <tableColumn id="8" xr3:uid="{C1584B71-3161-4AD4-80AF-D5A5463C34C5}" name="Delivery_Partner"/>
    <tableColumn id="9" xr3:uid="{501ED854-488D-4EFF-A7FA-C155670D43BF}" name="Payment_Type"/>
    <tableColumn id="10" xr3:uid="{E2CF12C7-C75B-42D5-917C-D0A0D0D6BD2A}" name="Order_Value"/>
    <tableColumn id="11" xr3:uid="{1FCD3BF6-4EDB-4EE0-B77C-D24BDA67179B}" name="Delivery Category" dataDxfId="1">
      <calculatedColumnFormula>IF(E2&lt;=3,"Fast",IF(E2&lt;=6,"Medium","Slow"))</calculatedColumnFormula>
    </tableColumn>
    <tableColumn id="12" xr3:uid="{D555130C-8737-4995-A660-8A370E76DC03}" name="Rating Category" dataDxfId="0">
      <calculatedColumnFormula>IF(G2&gt;=4,"Good",IF(G2=3,"Average","Poor"))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D053-DEEC-4351-AEF7-FA242B20CEC1}">
  <dimension ref="A2:K60"/>
  <sheetViews>
    <sheetView tabSelected="1"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27.88671875" bestFit="1" customWidth="1"/>
    <col min="3" max="3" width="32.109375" customWidth="1"/>
    <col min="4" max="4" width="12.5546875" bestFit="1" customWidth="1"/>
    <col min="5" max="6" width="16.44140625" bestFit="1" customWidth="1"/>
    <col min="7" max="7" width="12.5546875" bestFit="1" customWidth="1"/>
    <col min="8" max="8" width="24" customWidth="1"/>
    <col min="9" max="9" width="16.44140625" bestFit="1" customWidth="1"/>
    <col min="10" max="10" width="18.109375" customWidth="1"/>
    <col min="11" max="11" width="17.5546875" customWidth="1"/>
  </cols>
  <sheetData>
    <row r="2" spans="1:11" x14ac:dyDescent="0.3">
      <c r="A2" t="s">
        <v>36</v>
      </c>
      <c r="D2" t="s">
        <v>28</v>
      </c>
    </row>
    <row r="3" spans="1:11" x14ac:dyDescent="0.3">
      <c r="A3" s="2" t="s">
        <v>29</v>
      </c>
      <c r="B3" t="s">
        <v>31</v>
      </c>
      <c r="D3" s="2" t="s">
        <v>29</v>
      </c>
      <c r="E3" t="s">
        <v>31</v>
      </c>
      <c r="G3" t="s">
        <v>32</v>
      </c>
      <c r="J3" t="s">
        <v>36</v>
      </c>
    </row>
    <row r="4" spans="1:11" x14ac:dyDescent="0.3">
      <c r="A4" s="3" t="s">
        <v>37</v>
      </c>
      <c r="B4">
        <v>28</v>
      </c>
      <c r="D4" s="3" t="s">
        <v>10</v>
      </c>
      <c r="E4">
        <v>13</v>
      </c>
      <c r="G4" s="2" t="s">
        <v>29</v>
      </c>
      <c r="H4" t="s">
        <v>31</v>
      </c>
      <c r="J4" s="2" t="s">
        <v>29</v>
      </c>
      <c r="K4" t="s">
        <v>31</v>
      </c>
    </row>
    <row r="5" spans="1:11" x14ac:dyDescent="0.3">
      <c r="A5" s="3" t="s">
        <v>38</v>
      </c>
      <c r="B5">
        <v>22</v>
      </c>
      <c r="D5" s="3" t="s">
        <v>24</v>
      </c>
      <c r="E5">
        <v>11</v>
      </c>
      <c r="G5" s="3" t="s">
        <v>11</v>
      </c>
      <c r="H5">
        <v>15</v>
      </c>
      <c r="J5" s="3" t="s">
        <v>37</v>
      </c>
      <c r="K5">
        <v>28</v>
      </c>
    </row>
    <row r="6" spans="1:11" x14ac:dyDescent="0.3">
      <c r="A6" s="3" t="s">
        <v>30</v>
      </c>
      <c r="B6">
        <v>50</v>
      </c>
      <c r="D6" s="3" t="s">
        <v>18</v>
      </c>
      <c r="E6">
        <v>10</v>
      </c>
      <c r="G6" s="3" t="s">
        <v>16</v>
      </c>
      <c r="H6">
        <v>23</v>
      </c>
      <c r="J6" s="3" t="s">
        <v>38</v>
      </c>
      <c r="K6">
        <v>22</v>
      </c>
    </row>
    <row r="7" spans="1:11" x14ac:dyDescent="0.3">
      <c r="D7" s="3" t="s">
        <v>15</v>
      </c>
      <c r="E7">
        <v>16</v>
      </c>
      <c r="G7" s="3" t="s">
        <v>21</v>
      </c>
      <c r="H7">
        <v>12</v>
      </c>
      <c r="J7" s="3" t="s">
        <v>30</v>
      </c>
      <c r="K7">
        <v>50</v>
      </c>
    </row>
    <row r="8" spans="1:11" x14ac:dyDescent="0.3">
      <c r="D8" s="3" t="s">
        <v>30</v>
      </c>
      <c r="E8">
        <v>50</v>
      </c>
      <c r="G8" s="3" t="s">
        <v>30</v>
      </c>
      <c r="H8">
        <v>50</v>
      </c>
    </row>
    <row r="11" spans="1:11" x14ac:dyDescent="0.3">
      <c r="A11" t="s">
        <v>33</v>
      </c>
    </row>
    <row r="12" spans="1:11" x14ac:dyDescent="0.3">
      <c r="A12" s="2" t="s">
        <v>29</v>
      </c>
      <c r="B12" t="s">
        <v>34</v>
      </c>
      <c r="D12" t="s">
        <v>35</v>
      </c>
    </row>
    <row r="13" spans="1:11" x14ac:dyDescent="0.3">
      <c r="A13" s="3" t="s">
        <v>25</v>
      </c>
      <c r="B13">
        <v>4.1333333333333337</v>
      </c>
      <c r="D13" s="2" t="s">
        <v>29</v>
      </c>
      <c r="E13" t="s">
        <v>34</v>
      </c>
      <c r="F13" t="s">
        <v>31</v>
      </c>
      <c r="H13" t="s">
        <v>36</v>
      </c>
    </row>
    <row r="14" spans="1:11" x14ac:dyDescent="0.3">
      <c r="A14" s="3" t="s">
        <v>19</v>
      </c>
      <c r="B14">
        <v>5.333333333333333</v>
      </c>
      <c r="D14" s="3" t="s">
        <v>22</v>
      </c>
      <c r="E14">
        <v>4.9375</v>
      </c>
      <c r="F14">
        <v>16</v>
      </c>
      <c r="H14" s="2" t="s">
        <v>29</v>
      </c>
      <c r="I14" t="s">
        <v>31</v>
      </c>
    </row>
    <row r="15" spans="1:11" x14ac:dyDescent="0.3">
      <c r="A15" s="3" t="s">
        <v>12</v>
      </c>
      <c r="B15">
        <v>6.1764705882352944</v>
      </c>
      <c r="D15" s="3" t="s">
        <v>17</v>
      </c>
      <c r="E15">
        <v>5.7142857142857144</v>
      </c>
      <c r="F15">
        <v>14</v>
      </c>
      <c r="H15" s="3">
        <v>1</v>
      </c>
      <c r="I15">
        <v>12</v>
      </c>
    </row>
    <row r="16" spans="1:11" x14ac:dyDescent="0.3">
      <c r="A16" s="3" t="s">
        <v>30</v>
      </c>
      <c r="B16">
        <v>5.26</v>
      </c>
      <c r="D16" s="3" t="s">
        <v>13</v>
      </c>
      <c r="E16">
        <v>5.2</v>
      </c>
      <c r="F16">
        <v>20</v>
      </c>
      <c r="H16" s="3">
        <v>2</v>
      </c>
      <c r="I16">
        <v>9</v>
      </c>
    </row>
    <row r="17" spans="4:9" x14ac:dyDescent="0.3">
      <c r="D17" s="3" t="s">
        <v>30</v>
      </c>
      <c r="E17">
        <v>5.26</v>
      </c>
      <c r="F17">
        <v>50</v>
      </c>
      <c r="H17" s="3">
        <v>3</v>
      </c>
      <c r="I17">
        <v>12</v>
      </c>
    </row>
    <row r="18" spans="4:9" x14ac:dyDescent="0.3">
      <c r="H18" s="3">
        <v>4</v>
      </c>
      <c r="I18">
        <v>12</v>
      </c>
    </row>
    <row r="19" spans="4:9" x14ac:dyDescent="0.3">
      <c r="H19" s="3">
        <v>5</v>
      </c>
      <c r="I19">
        <v>5</v>
      </c>
    </row>
    <row r="20" spans="4:9" x14ac:dyDescent="0.3">
      <c r="H20" s="3" t="s">
        <v>30</v>
      </c>
      <c r="I20">
        <v>50</v>
      </c>
    </row>
    <row r="60" spans="3:3" x14ac:dyDescent="0.3">
      <c r="C60" t="s">
        <v>39</v>
      </c>
    </row>
  </sheetData>
  <pageMargins left="0.7" right="0.7" top="0.75" bottom="0.75" header="0.3" footer="0.3"/>
  <pageSetup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5A01-4880-423E-875F-3BE0C2B6A38A}">
  <dimension ref="A1:L51"/>
  <sheetViews>
    <sheetView topLeftCell="A31" workbookViewId="0">
      <selection activeCell="I63" sqref="I63"/>
    </sheetView>
  </sheetViews>
  <sheetFormatPr defaultRowHeight="14.4" x14ac:dyDescent="0.3"/>
  <cols>
    <col min="1" max="1" width="10.44140625" customWidth="1"/>
    <col min="2" max="2" width="29.33203125" customWidth="1"/>
    <col min="4" max="4" width="15.88671875" customWidth="1"/>
    <col min="5" max="5" width="19.77734375" customWidth="1"/>
    <col min="6" max="6" width="14.6640625" customWidth="1"/>
    <col min="7" max="7" width="17.33203125" customWidth="1"/>
    <col min="8" max="8" width="16.88671875" customWidth="1"/>
    <col min="9" max="9" width="15.5546875" customWidth="1"/>
    <col min="10" max="10" width="17.77734375" customWidth="1"/>
    <col min="11" max="11" width="21.109375" customWidth="1"/>
    <col min="12" max="12" width="15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27</v>
      </c>
    </row>
    <row r="2" spans="1:12" x14ac:dyDescent="0.3">
      <c r="A2">
        <v>2001</v>
      </c>
      <c r="B2" s="1">
        <v>46054</v>
      </c>
      <c r="C2" t="s">
        <v>10</v>
      </c>
      <c r="D2" t="s">
        <v>11</v>
      </c>
      <c r="E2">
        <v>2</v>
      </c>
      <c r="F2" t="s">
        <v>12</v>
      </c>
      <c r="G2">
        <v>1</v>
      </c>
      <c r="H2" t="s">
        <v>13</v>
      </c>
      <c r="I2" t="s">
        <v>14</v>
      </c>
      <c r="J2">
        <v>3527</v>
      </c>
      <c r="K2" t="str">
        <f t="shared" ref="K2:K33" si="0">IF(E2&lt;=3,"Fast",IF(E2&lt;=6,"Medium","Slow"))</f>
        <v>Fast</v>
      </c>
      <c r="L2" t="str">
        <f t="shared" ref="L2:L33" si="1">IF(G2&gt;=4,"Good",IF(G2=3,"Average","Poor"))</f>
        <v>Poor</v>
      </c>
    </row>
    <row r="3" spans="1:12" x14ac:dyDescent="0.3">
      <c r="A3">
        <v>2002</v>
      </c>
      <c r="B3" s="1">
        <v>46055</v>
      </c>
      <c r="C3" t="s">
        <v>15</v>
      </c>
      <c r="D3" t="s">
        <v>16</v>
      </c>
      <c r="E3">
        <v>5</v>
      </c>
      <c r="F3" t="s">
        <v>12</v>
      </c>
      <c r="G3">
        <v>2</v>
      </c>
      <c r="H3" t="s">
        <v>17</v>
      </c>
      <c r="I3" t="s">
        <v>14</v>
      </c>
      <c r="J3">
        <v>3594</v>
      </c>
      <c r="K3" t="str">
        <f t="shared" si="0"/>
        <v>Medium</v>
      </c>
      <c r="L3" t="str">
        <f t="shared" si="1"/>
        <v>Poor</v>
      </c>
    </row>
    <row r="4" spans="1:12" x14ac:dyDescent="0.3">
      <c r="A4">
        <v>2003</v>
      </c>
      <c r="B4" s="1">
        <v>46056</v>
      </c>
      <c r="C4" t="s">
        <v>18</v>
      </c>
      <c r="D4" t="s">
        <v>11</v>
      </c>
      <c r="E4">
        <v>8</v>
      </c>
      <c r="F4" t="s">
        <v>19</v>
      </c>
      <c r="G4">
        <v>4</v>
      </c>
      <c r="H4" t="s">
        <v>13</v>
      </c>
      <c r="I4" t="s">
        <v>20</v>
      </c>
      <c r="J4">
        <v>327</v>
      </c>
      <c r="K4" t="str">
        <f t="shared" si="0"/>
        <v>Slow</v>
      </c>
      <c r="L4" t="str">
        <f t="shared" si="1"/>
        <v>Good</v>
      </c>
    </row>
    <row r="5" spans="1:12" x14ac:dyDescent="0.3">
      <c r="A5">
        <v>2004</v>
      </c>
      <c r="B5" s="1">
        <v>46057</v>
      </c>
      <c r="C5" t="s">
        <v>10</v>
      </c>
      <c r="D5" t="s">
        <v>11</v>
      </c>
      <c r="E5">
        <v>9</v>
      </c>
      <c r="F5" t="s">
        <v>12</v>
      </c>
      <c r="G5">
        <v>4</v>
      </c>
      <c r="H5" t="s">
        <v>13</v>
      </c>
      <c r="I5" t="s">
        <v>20</v>
      </c>
      <c r="J5">
        <v>2265</v>
      </c>
      <c r="K5" t="str">
        <f t="shared" si="0"/>
        <v>Slow</v>
      </c>
      <c r="L5" t="str">
        <f t="shared" si="1"/>
        <v>Good</v>
      </c>
    </row>
    <row r="6" spans="1:12" x14ac:dyDescent="0.3">
      <c r="A6">
        <v>2005</v>
      </c>
      <c r="B6" s="1">
        <v>46058</v>
      </c>
      <c r="C6" t="s">
        <v>10</v>
      </c>
      <c r="D6" t="s">
        <v>21</v>
      </c>
      <c r="E6">
        <v>9</v>
      </c>
      <c r="F6" t="s">
        <v>12</v>
      </c>
      <c r="G6">
        <v>2</v>
      </c>
      <c r="H6" t="s">
        <v>22</v>
      </c>
      <c r="I6" t="s">
        <v>14</v>
      </c>
      <c r="J6">
        <v>2016</v>
      </c>
      <c r="K6" t="str">
        <f t="shared" si="0"/>
        <v>Slow</v>
      </c>
      <c r="L6" t="str">
        <f t="shared" si="1"/>
        <v>Poor</v>
      </c>
    </row>
    <row r="7" spans="1:12" x14ac:dyDescent="0.3">
      <c r="A7">
        <v>2006</v>
      </c>
      <c r="B7" s="1">
        <v>46059</v>
      </c>
      <c r="C7" t="s">
        <v>15</v>
      </c>
      <c r="D7" t="s">
        <v>11</v>
      </c>
      <c r="E7">
        <v>1</v>
      </c>
      <c r="F7" t="s">
        <v>19</v>
      </c>
      <c r="G7">
        <v>3</v>
      </c>
      <c r="H7" t="s">
        <v>17</v>
      </c>
      <c r="I7" t="s">
        <v>14</v>
      </c>
      <c r="J7">
        <v>769</v>
      </c>
      <c r="K7" t="str">
        <f t="shared" si="0"/>
        <v>Fast</v>
      </c>
      <c r="L7" t="str">
        <f t="shared" si="1"/>
        <v>Average</v>
      </c>
    </row>
    <row r="8" spans="1:12" x14ac:dyDescent="0.3">
      <c r="A8">
        <v>2007</v>
      </c>
      <c r="B8" s="1">
        <v>46060</v>
      </c>
      <c r="C8" t="s">
        <v>18</v>
      </c>
      <c r="D8" t="s">
        <v>21</v>
      </c>
      <c r="E8">
        <v>9</v>
      </c>
      <c r="F8" t="s">
        <v>19</v>
      </c>
      <c r="G8">
        <v>1</v>
      </c>
      <c r="H8" t="s">
        <v>17</v>
      </c>
      <c r="I8" t="s">
        <v>23</v>
      </c>
      <c r="J8">
        <v>2095</v>
      </c>
      <c r="K8" t="str">
        <f t="shared" si="0"/>
        <v>Slow</v>
      </c>
      <c r="L8" t="str">
        <f t="shared" si="1"/>
        <v>Poor</v>
      </c>
    </row>
    <row r="9" spans="1:12" x14ac:dyDescent="0.3">
      <c r="A9">
        <v>2008</v>
      </c>
      <c r="B9" s="1">
        <v>46061</v>
      </c>
      <c r="C9" t="s">
        <v>18</v>
      </c>
      <c r="D9" t="s">
        <v>11</v>
      </c>
      <c r="E9">
        <v>7</v>
      </c>
      <c r="F9" t="s">
        <v>12</v>
      </c>
      <c r="G9">
        <v>5</v>
      </c>
      <c r="H9" t="s">
        <v>22</v>
      </c>
      <c r="I9" t="s">
        <v>14</v>
      </c>
      <c r="J9">
        <v>2933</v>
      </c>
      <c r="K9" t="str">
        <f t="shared" si="0"/>
        <v>Slow</v>
      </c>
      <c r="L9" t="str">
        <f t="shared" si="1"/>
        <v>Good</v>
      </c>
    </row>
    <row r="10" spans="1:12" x14ac:dyDescent="0.3">
      <c r="A10">
        <v>2009</v>
      </c>
      <c r="B10" s="1">
        <v>46062</v>
      </c>
      <c r="C10" t="s">
        <v>10</v>
      </c>
      <c r="D10" t="s">
        <v>11</v>
      </c>
      <c r="E10">
        <v>9</v>
      </c>
      <c r="F10" t="s">
        <v>12</v>
      </c>
      <c r="G10">
        <v>1</v>
      </c>
      <c r="H10" t="s">
        <v>22</v>
      </c>
      <c r="I10" t="s">
        <v>23</v>
      </c>
      <c r="J10">
        <v>4063</v>
      </c>
      <c r="K10" t="str">
        <f t="shared" si="0"/>
        <v>Slow</v>
      </c>
      <c r="L10" t="str">
        <f t="shared" si="1"/>
        <v>Poor</v>
      </c>
    </row>
    <row r="11" spans="1:12" x14ac:dyDescent="0.3">
      <c r="A11">
        <v>2010</v>
      </c>
      <c r="B11" s="1">
        <v>46063</v>
      </c>
      <c r="C11" t="s">
        <v>24</v>
      </c>
      <c r="D11" t="s">
        <v>21</v>
      </c>
      <c r="E11">
        <v>8</v>
      </c>
      <c r="F11" t="s">
        <v>12</v>
      </c>
      <c r="G11">
        <v>1</v>
      </c>
      <c r="H11" t="s">
        <v>17</v>
      </c>
      <c r="I11" t="s">
        <v>23</v>
      </c>
      <c r="J11">
        <v>4921</v>
      </c>
      <c r="K11" t="str">
        <f t="shared" si="0"/>
        <v>Slow</v>
      </c>
      <c r="L11" t="str">
        <f t="shared" si="1"/>
        <v>Poor</v>
      </c>
    </row>
    <row r="12" spans="1:12" x14ac:dyDescent="0.3">
      <c r="A12">
        <v>2011</v>
      </c>
      <c r="B12" s="1">
        <v>46064</v>
      </c>
      <c r="C12" t="s">
        <v>10</v>
      </c>
      <c r="D12" t="s">
        <v>21</v>
      </c>
      <c r="E12">
        <v>1</v>
      </c>
      <c r="F12" t="s">
        <v>25</v>
      </c>
      <c r="G12">
        <v>3</v>
      </c>
      <c r="H12" t="s">
        <v>17</v>
      </c>
      <c r="I12" t="s">
        <v>23</v>
      </c>
      <c r="J12">
        <v>4214</v>
      </c>
      <c r="K12" t="str">
        <f t="shared" si="0"/>
        <v>Fast</v>
      </c>
      <c r="L12" t="str">
        <f t="shared" si="1"/>
        <v>Average</v>
      </c>
    </row>
    <row r="13" spans="1:12" x14ac:dyDescent="0.3">
      <c r="A13">
        <v>2012</v>
      </c>
      <c r="B13" s="1">
        <v>46065</v>
      </c>
      <c r="C13" t="s">
        <v>10</v>
      </c>
      <c r="D13" t="s">
        <v>11</v>
      </c>
      <c r="E13">
        <v>8</v>
      </c>
      <c r="F13" t="s">
        <v>25</v>
      </c>
      <c r="G13">
        <v>1</v>
      </c>
      <c r="H13" t="s">
        <v>22</v>
      </c>
      <c r="I13" t="s">
        <v>23</v>
      </c>
      <c r="J13">
        <v>3101</v>
      </c>
      <c r="K13" t="str">
        <f t="shared" si="0"/>
        <v>Slow</v>
      </c>
      <c r="L13" t="str">
        <f t="shared" si="1"/>
        <v>Poor</v>
      </c>
    </row>
    <row r="14" spans="1:12" x14ac:dyDescent="0.3">
      <c r="A14">
        <v>2013</v>
      </c>
      <c r="B14" s="1">
        <v>46066</v>
      </c>
      <c r="C14" t="s">
        <v>10</v>
      </c>
      <c r="D14" t="s">
        <v>16</v>
      </c>
      <c r="E14">
        <v>8</v>
      </c>
      <c r="F14" t="s">
        <v>25</v>
      </c>
      <c r="G14">
        <v>2</v>
      </c>
      <c r="H14" t="s">
        <v>13</v>
      </c>
      <c r="I14" t="s">
        <v>23</v>
      </c>
      <c r="J14">
        <v>1886</v>
      </c>
      <c r="K14" t="str">
        <f t="shared" si="0"/>
        <v>Slow</v>
      </c>
      <c r="L14" t="str">
        <f t="shared" si="1"/>
        <v>Poor</v>
      </c>
    </row>
    <row r="15" spans="1:12" x14ac:dyDescent="0.3">
      <c r="A15">
        <v>2014</v>
      </c>
      <c r="B15" s="1">
        <v>46067</v>
      </c>
      <c r="C15" t="s">
        <v>10</v>
      </c>
      <c r="D15" t="s">
        <v>21</v>
      </c>
      <c r="E15">
        <v>3</v>
      </c>
      <c r="F15" t="s">
        <v>19</v>
      </c>
      <c r="G15">
        <v>2</v>
      </c>
      <c r="H15" t="s">
        <v>13</v>
      </c>
      <c r="I15" t="s">
        <v>20</v>
      </c>
      <c r="J15">
        <v>3209</v>
      </c>
      <c r="K15" t="str">
        <f t="shared" si="0"/>
        <v>Fast</v>
      </c>
      <c r="L15" t="str">
        <f t="shared" si="1"/>
        <v>Poor</v>
      </c>
    </row>
    <row r="16" spans="1:12" x14ac:dyDescent="0.3">
      <c r="A16">
        <v>2015</v>
      </c>
      <c r="B16" s="1">
        <v>46068</v>
      </c>
      <c r="C16" t="s">
        <v>15</v>
      </c>
      <c r="D16" t="s">
        <v>16</v>
      </c>
      <c r="E16">
        <v>1</v>
      </c>
      <c r="F16" t="s">
        <v>25</v>
      </c>
      <c r="G16">
        <v>4</v>
      </c>
      <c r="H16" t="s">
        <v>22</v>
      </c>
      <c r="I16" t="s">
        <v>14</v>
      </c>
      <c r="J16">
        <v>354</v>
      </c>
      <c r="K16" t="str">
        <f t="shared" si="0"/>
        <v>Fast</v>
      </c>
      <c r="L16" t="str">
        <f t="shared" si="1"/>
        <v>Good</v>
      </c>
    </row>
    <row r="17" spans="1:12" x14ac:dyDescent="0.3">
      <c r="A17">
        <v>2016</v>
      </c>
      <c r="B17" s="1">
        <v>46069</v>
      </c>
      <c r="C17" t="s">
        <v>18</v>
      </c>
      <c r="D17" t="s">
        <v>16</v>
      </c>
      <c r="E17">
        <v>8</v>
      </c>
      <c r="F17" t="s">
        <v>19</v>
      </c>
      <c r="G17">
        <v>5</v>
      </c>
      <c r="H17" t="s">
        <v>13</v>
      </c>
      <c r="I17" t="s">
        <v>23</v>
      </c>
      <c r="J17">
        <v>2737</v>
      </c>
      <c r="K17" t="str">
        <f t="shared" si="0"/>
        <v>Slow</v>
      </c>
      <c r="L17" t="str">
        <f t="shared" si="1"/>
        <v>Good</v>
      </c>
    </row>
    <row r="18" spans="1:12" x14ac:dyDescent="0.3">
      <c r="A18">
        <v>2017</v>
      </c>
      <c r="B18" s="1">
        <v>46070</v>
      </c>
      <c r="C18" t="s">
        <v>15</v>
      </c>
      <c r="D18" t="s">
        <v>16</v>
      </c>
      <c r="E18">
        <v>3</v>
      </c>
      <c r="F18" t="s">
        <v>19</v>
      </c>
      <c r="G18">
        <v>1</v>
      </c>
      <c r="H18" t="s">
        <v>22</v>
      </c>
      <c r="I18" t="s">
        <v>14</v>
      </c>
      <c r="J18">
        <v>1609</v>
      </c>
      <c r="K18" t="str">
        <f t="shared" si="0"/>
        <v>Fast</v>
      </c>
      <c r="L18" t="str">
        <f t="shared" si="1"/>
        <v>Poor</v>
      </c>
    </row>
    <row r="19" spans="1:12" x14ac:dyDescent="0.3">
      <c r="A19">
        <v>2018</v>
      </c>
      <c r="B19" s="1">
        <v>46071</v>
      </c>
      <c r="C19" t="s">
        <v>15</v>
      </c>
      <c r="D19" t="s">
        <v>21</v>
      </c>
      <c r="E19">
        <v>3</v>
      </c>
      <c r="F19" t="s">
        <v>25</v>
      </c>
      <c r="G19">
        <v>1</v>
      </c>
      <c r="H19" t="s">
        <v>13</v>
      </c>
      <c r="I19" t="s">
        <v>14</v>
      </c>
      <c r="J19">
        <v>4257</v>
      </c>
      <c r="K19" t="str">
        <f t="shared" si="0"/>
        <v>Fast</v>
      </c>
      <c r="L19" t="str">
        <f t="shared" si="1"/>
        <v>Poor</v>
      </c>
    </row>
    <row r="20" spans="1:12" x14ac:dyDescent="0.3">
      <c r="A20">
        <v>2019</v>
      </c>
      <c r="B20" s="1">
        <v>46072</v>
      </c>
      <c r="C20" t="s">
        <v>15</v>
      </c>
      <c r="D20" t="s">
        <v>16</v>
      </c>
      <c r="E20">
        <v>1</v>
      </c>
      <c r="F20" t="s">
        <v>25</v>
      </c>
      <c r="G20">
        <v>3</v>
      </c>
      <c r="H20" t="s">
        <v>13</v>
      </c>
      <c r="I20" t="s">
        <v>23</v>
      </c>
      <c r="J20">
        <v>984</v>
      </c>
      <c r="K20" t="str">
        <f t="shared" si="0"/>
        <v>Fast</v>
      </c>
      <c r="L20" t="str">
        <f t="shared" si="1"/>
        <v>Average</v>
      </c>
    </row>
    <row r="21" spans="1:12" x14ac:dyDescent="0.3">
      <c r="A21">
        <v>2020</v>
      </c>
      <c r="B21" s="1">
        <v>46073</v>
      </c>
      <c r="C21" t="s">
        <v>10</v>
      </c>
      <c r="D21" t="s">
        <v>21</v>
      </c>
      <c r="E21">
        <v>5</v>
      </c>
      <c r="F21" t="s">
        <v>25</v>
      </c>
      <c r="G21">
        <v>2</v>
      </c>
      <c r="H21" t="s">
        <v>17</v>
      </c>
      <c r="I21" t="s">
        <v>20</v>
      </c>
      <c r="J21">
        <v>3375</v>
      </c>
      <c r="K21" t="str">
        <f t="shared" si="0"/>
        <v>Medium</v>
      </c>
      <c r="L21" t="str">
        <f t="shared" si="1"/>
        <v>Poor</v>
      </c>
    </row>
    <row r="22" spans="1:12" x14ac:dyDescent="0.3">
      <c r="A22">
        <v>2021</v>
      </c>
      <c r="B22" s="1">
        <v>46074</v>
      </c>
      <c r="C22" t="s">
        <v>24</v>
      </c>
      <c r="D22" t="s">
        <v>16</v>
      </c>
      <c r="E22">
        <v>7</v>
      </c>
      <c r="F22" t="s">
        <v>12</v>
      </c>
      <c r="G22">
        <v>5</v>
      </c>
      <c r="H22" t="s">
        <v>17</v>
      </c>
      <c r="I22" t="s">
        <v>23</v>
      </c>
      <c r="J22">
        <v>4541</v>
      </c>
      <c r="K22" t="str">
        <f t="shared" si="0"/>
        <v>Slow</v>
      </c>
      <c r="L22" t="str">
        <f t="shared" si="1"/>
        <v>Good</v>
      </c>
    </row>
    <row r="23" spans="1:12" x14ac:dyDescent="0.3">
      <c r="A23">
        <v>2022</v>
      </c>
      <c r="B23" s="1">
        <v>46075</v>
      </c>
      <c r="C23" t="s">
        <v>18</v>
      </c>
      <c r="D23" t="s">
        <v>11</v>
      </c>
      <c r="E23">
        <v>9</v>
      </c>
      <c r="F23" t="s">
        <v>25</v>
      </c>
      <c r="G23">
        <v>4</v>
      </c>
      <c r="H23" t="s">
        <v>13</v>
      </c>
      <c r="I23" t="s">
        <v>20</v>
      </c>
      <c r="J23">
        <v>3006</v>
      </c>
      <c r="K23" t="str">
        <f t="shared" si="0"/>
        <v>Slow</v>
      </c>
      <c r="L23" t="str">
        <f t="shared" si="1"/>
        <v>Good</v>
      </c>
    </row>
    <row r="24" spans="1:12" x14ac:dyDescent="0.3">
      <c r="A24">
        <v>2023</v>
      </c>
      <c r="B24" s="1">
        <v>46076</v>
      </c>
      <c r="C24" t="s">
        <v>24</v>
      </c>
      <c r="D24" t="s">
        <v>11</v>
      </c>
      <c r="E24">
        <v>7</v>
      </c>
      <c r="F24" t="s">
        <v>12</v>
      </c>
      <c r="G24">
        <v>2</v>
      </c>
      <c r="H24" t="s">
        <v>13</v>
      </c>
      <c r="I24" t="s">
        <v>14</v>
      </c>
      <c r="J24">
        <v>737</v>
      </c>
      <c r="K24" t="str">
        <f t="shared" si="0"/>
        <v>Slow</v>
      </c>
      <c r="L24" t="str">
        <f t="shared" si="1"/>
        <v>Poor</v>
      </c>
    </row>
    <row r="25" spans="1:12" x14ac:dyDescent="0.3">
      <c r="A25">
        <v>2024</v>
      </c>
      <c r="B25" s="1">
        <v>46077</v>
      </c>
      <c r="C25" t="s">
        <v>15</v>
      </c>
      <c r="D25" t="s">
        <v>21</v>
      </c>
      <c r="E25">
        <v>9</v>
      </c>
      <c r="F25" t="s">
        <v>19</v>
      </c>
      <c r="G25">
        <v>4</v>
      </c>
      <c r="H25" t="s">
        <v>17</v>
      </c>
      <c r="I25" t="s">
        <v>20</v>
      </c>
      <c r="J25">
        <v>2041</v>
      </c>
      <c r="K25" t="str">
        <f t="shared" si="0"/>
        <v>Slow</v>
      </c>
      <c r="L25" t="str">
        <f t="shared" si="1"/>
        <v>Good</v>
      </c>
    </row>
    <row r="26" spans="1:12" x14ac:dyDescent="0.3">
      <c r="A26">
        <v>2025</v>
      </c>
      <c r="B26" s="1">
        <v>46078</v>
      </c>
      <c r="C26" t="s">
        <v>15</v>
      </c>
      <c r="D26" t="s">
        <v>11</v>
      </c>
      <c r="E26">
        <v>8</v>
      </c>
      <c r="F26" t="s">
        <v>12</v>
      </c>
      <c r="G26">
        <v>3</v>
      </c>
      <c r="H26" t="s">
        <v>17</v>
      </c>
      <c r="I26" t="s">
        <v>20</v>
      </c>
      <c r="J26">
        <v>2655</v>
      </c>
      <c r="K26" t="str">
        <f t="shared" si="0"/>
        <v>Slow</v>
      </c>
      <c r="L26" t="str">
        <f t="shared" si="1"/>
        <v>Average</v>
      </c>
    </row>
    <row r="27" spans="1:12" x14ac:dyDescent="0.3">
      <c r="A27">
        <v>2026</v>
      </c>
      <c r="B27" s="1">
        <v>46079</v>
      </c>
      <c r="C27" t="s">
        <v>24</v>
      </c>
      <c r="D27" t="s">
        <v>11</v>
      </c>
      <c r="E27">
        <v>2</v>
      </c>
      <c r="F27" t="s">
        <v>25</v>
      </c>
      <c r="G27">
        <v>3</v>
      </c>
      <c r="H27" t="s">
        <v>17</v>
      </c>
      <c r="I27" t="s">
        <v>20</v>
      </c>
      <c r="J27">
        <v>724</v>
      </c>
      <c r="K27" t="str">
        <f t="shared" si="0"/>
        <v>Fast</v>
      </c>
      <c r="L27" t="str">
        <f t="shared" si="1"/>
        <v>Average</v>
      </c>
    </row>
    <row r="28" spans="1:12" x14ac:dyDescent="0.3">
      <c r="A28">
        <v>2027</v>
      </c>
      <c r="B28" s="1">
        <v>46080</v>
      </c>
      <c r="C28" t="s">
        <v>24</v>
      </c>
      <c r="D28" t="s">
        <v>16</v>
      </c>
      <c r="E28">
        <v>1</v>
      </c>
      <c r="F28" t="s">
        <v>19</v>
      </c>
      <c r="G28">
        <v>1</v>
      </c>
      <c r="H28" t="s">
        <v>22</v>
      </c>
      <c r="I28" t="s">
        <v>14</v>
      </c>
      <c r="J28">
        <v>3150</v>
      </c>
      <c r="K28" t="str">
        <f t="shared" si="0"/>
        <v>Fast</v>
      </c>
      <c r="L28" t="str">
        <f t="shared" si="1"/>
        <v>Poor</v>
      </c>
    </row>
    <row r="29" spans="1:12" x14ac:dyDescent="0.3">
      <c r="A29">
        <v>2028</v>
      </c>
      <c r="B29" s="1">
        <v>46081</v>
      </c>
      <c r="C29" t="s">
        <v>24</v>
      </c>
      <c r="D29" t="s">
        <v>21</v>
      </c>
      <c r="E29">
        <v>7</v>
      </c>
      <c r="F29" t="s">
        <v>19</v>
      </c>
      <c r="G29">
        <v>5</v>
      </c>
      <c r="H29" t="s">
        <v>13</v>
      </c>
      <c r="I29" t="s">
        <v>14</v>
      </c>
      <c r="J29">
        <v>4331</v>
      </c>
      <c r="K29" t="str">
        <f t="shared" si="0"/>
        <v>Slow</v>
      </c>
      <c r="L29" t="str">
        <f t="shared" si="1"/>
        <v>Good</v>
      </c>
    </row>
    <row r="30" spans="1:12" x14ac:dyDescent="0.3">
      <c r="A30">
        <v>2029</v>
      </c>
      <c r="B30" s="1">
        <v>46082</v>
      </c>
      <c r="C30" t="s">
        <v>15</v>
      </c>
      <c r="D30" t="s">
        <v>16</v>
      </c>
      <c r="E30">
        <v>7</v>
      </c>
      <c r="F30" t="s">
        <v>19</v>
      </c>
      <c r="G30">
        <v>4</v>
      </c>
      <c r="H30" t="s">
        <v>17</v>
      </c>
      <c r="I30" t="s">
        <v>20</v>
      </c>
      <c r="J30">
        <v>4980</v>
      </c>
      <c r="K30" t="str">
        <f t="shared" si="0"/>
        <v>Slow</v>
      </c>
      <c r="L30" t="str">
        <f t="shared" si="1"/>
        <v>Good</v>
      </c>
    </row>
    <row r="31" spans="1:12" x14ac:dyDescent="0.3">
      <c r="A31">
        <v>2030</v>
      </c>
      <c r="B31" s="1">
        <v>46083</v>
      </c>
      <c r="C31" t="s">
        <v>15</v>
      </c>
      <c r="D31" t="s">
        <v>16</v>
      </c>
      <c r="E31">
        <v>8</v>
      </c>
      <c r="F31" t="s">
        <v>12</v>
      </c>
      <c r="G31">
        <v>2</v>
      </c>
      <c r="H31" t="s">
        <v>13</v>
      </c>
      <c r="I31" t="s">
        <v>20</v>
      </c>
      <c r="J31">
        <v>4315</v>
      </c>
      <c r="K31" t="str">
        <f t="shared" si="0"/>
        <v>Slow</v>
      </c>
      <c r="L31" t="str">
        <f t="shared" si="1"/>
        <v>Poor</v>
      </c>
    </row>
    <row r="32" spans="1:12" x14ac:dyDescent="0.3">
      <c r="A32">
        <v>2031</v>
      </c>
      <c r="B32" s="1">
        <v>46084</v>
      </c>
      <c r="C32" t="s">
        <v>18</v>
      </c>
      <c r="D32" t="s">
        <v>16</v>
      </c>
      <c r="E32">
        <v>5</v>
      </c>
      <c r="F32" t="s">
        <v>25</v>
      </c>
      <c r="G32">
        <v>3</v>
      </c>
      <c r="H32" t="s">
        <v>22</v>
      </c>
      <c r="I32" t="s">
        <v>23</v>
      </c>
      <c r="J32">
        <v>2568</v>
      </c>
      <c r="K32" t="str">
        <f t="shared" si="0"/>
        <v>Medium</v>
      </c>
      <c r="L32" t="str">
        <f t="shared" si="1"/>
        <v>Average</v>
      </c>
    </row>
    <row r="33" spans="1:12" x14ac:dyDescent="0.3">
      <c r="A33">
        <v>2032</v>
      </c>
      <c r="B33" s="1">
        <v>46085</v>
      </c>
      <c r="C33" t="s">
        <v>18</v>
      </c>
      <c r="D33" t="s">
        <v>16</v>
      </c>
      <c r="E33">
        <v>3</v>
      </c>
      <c r="F33" t="s">
        <v>19</v>
      </c>
      <c r="G33">
        <v>1</v>
      </c>
      <c r="H33" t="s">
        <v>22</v>
      </c>
      <c r="I33" t="s">
        <v>20</v>
      </c>
      <c r="J33">
        <v>4047</v>
      </c>
      <c r="K33" t="str">
        <f t="shared" si="0"/>
        <v>Fast</v>
      </c>
      <c r="L33" t="str">
        <f t="shared" si="1"/>
        <v>Poor</v>
      </c>
    </row>
    <row r="34" spans="1:12" x14ac:dyDescent="0.3">
      <c r="A34">
        <v>2033</v>
      </c>
      <c r="B34" s="1">
        <v>46086</v>
      </c>
      <c r="C34" t="s">
        <v>15</v>
      </c>
      <c r="D34" t="s">
        <v>16</v>
      </c>
      <c r="E34">
        <v>8</v>
      </c>
      <c r="F34" t="s">
        <v>19</v>
      </c>
      <c r="G34">
        <v>1</v>
      </c>
      <c r="H34" t="s">
        <v>17</v>
      </c>
      <c r="I34" t="s">
        <v>23</v>
      </c>
      <c r="J34">
        <v>4695</v>
      </c>
      <c r="K34" t="str">
        <f t="shared" ref="K34:K51" si="2">IF(E34&lt;=3,"Fast",IF(E34&lt;=6,"Medium","Slow"))</f>
        <v>Slow</v>
      </c>
      <c r="L34" t="str">
        <f t="shared" ref="L34:L51" si="3">IF(G34&gt;=4,"Good",IF(G34=3,"Average","Poor"))</f>
        <v>Poor</v>
      </c>
    </row>
    <row r="35" spans="1:12" x14ac:dyDescent="0.3">
      <c r="A35">
        <v>2034</v>
      </c>
      <c r="B35" s="1">
        <v>46087</v>
      </c>
      <c r="C35" t="s">
        <v>24</v>
      </c>
      <c r="D35" t="s">
        <v>16</v>
      </c>
      <c r="E35">
        <v>6</v>
      </c>
      <c r="F35" t="s">
        <v>19</v>
      </c>
      <c r="G35">
        <v>4</v>
      </c>
      <c r="H35" t="s">
        <v>22</v>
      </c>
      <c r="I35" t="s">
        <v>20</v>
      </c>
      <c r="J35">
        <v>2901</v>
      </c>
      <c r="K35" t="str">
        <f t="shared" si="2"/>
        <v>Medium</v>
      </c>
      <c r="L35" t="str">
        <f t="shared" si="3"/>
        <v>Good</v>
      </c>
    </row>
    <row r="36" spans="1:12" x14ac:dyDescent="0.3">
      <c r="A36">
        <v>2035</v>
      </c>
      <c r="B36" s="1">
        <v>46088</v>
      </c>
      <c r="C36" t="s">
        <v>24</v>
      </c>
      <c r="D36" t="s">
        <v>16</v>
      </c>
      <c r="E36">
        <v>3</v>
      </c>
      <c r="F36" t="s">
        <v>12</v>
      </c>
      <c r="G36">
        <v>3</v>
      </c>
      <c r="H36" t="s">
        <v>13</v>
      </c>
      <c r="I36" t="s">
        <v>23</v>
      </c>
      <c r="J36">
        <v>1171</v>
      </c>
      <c r="K36" t="str">
        <f t="shared" si="2"/>
        <v>Fast</v>
      </c>
      <c r="L36" t="str">
        <f t="shared" si="3"/>
        <v>Average</v>
      </c>
    </row>
    <row r="37" spans="1:12" x14ac:dyDescent="0.3">
      <c r="A37">
        <v>2036</v>
      </c>
      <c r="B37" s="1">
        <v>46089</v>
      </c>
      <c r="C37" t="s">
        <v>18</v>
      </c>
      <c r="D37" t="s">
        <v>21</v>
      </c>
      <c r="E37">
        <v>1</v>
      </c>
      <c r="F37" t="s">
        <v>12</v>
      </c>
      <c r="G37">
        <v>5</v>
      </c>
      <c r="H37" t="s">
        <v>17</v>
      </c>
      <c r="I37" t="s">
        <v>14</v>
      </c>
      <c r="J37">
        <v>1366</v>
      </c>
      <c r="K37" t="str">
        <f t="shared" si="2"/>
        <v>Fast</v>
      </c>
      <c r="L37" t="str">
        <f t="shared" si="3"/>
        <v>Good</v>
      </c>
    </row>
    <row r="38" spans="1:12" x14ac:dyDescent="0.3">
      <c r="A38">
        <v>2037</v>
      </c>
      <c r="B38" s="1">
        <v>46090</v>
      </c>
      <c r="C38" t="s">
        <v>15</v>
      </c>
      <c r="D38" t="s">
        <v>11</v>
      </c>
      <c r="E38">
        <v>3</v>
      </c>
      <c r="F38" t="s">
        <v>25</v>
      </c>
      <c r="G38">
        <v>3</v>
      </c>
      <c r="H38" t="s">
        <v>13</v>
      </c>
      <c r="I38" t="s">
        <v>20</v>
      </c>
      <c r="J38">
        <v>2974</v>
      </c>
      <c r="K38" t="str">
        <f t="shared" si="2"/>
        <v>Fast</v>
      </c>
      <c r="L38" t="str">
        <f t="shared" si="3"/>
        <v>Average</v>
      </c>
    </row>
    <row r="39" spans="1:12" x14ac:dyDescent="0.3">
      <c r="A39">
        <v>2038</v>
      </c>
      <c r="B39" s="1">
        <v>46091</v>
      </c>
      <c r="C39" t="s">
        <v>18</v>
      </c>
      <c r="D39" t="s">
        <v>16</v>
      </c>
      <c r="E39">
        <v>5</v>
      </c>
      <c r="F39" t="s">
        <v>12</v>
      </c>
      <c r="G39">
        <v>4</v>
      </c>
      <c r="H39" t="s">
        <v>13</v>
      </c>
      <c r="I39" t="s">
        <v>20</v>
      </c>
      <c r="J39">
        <v>2182</v>
      </c>
      <c r="K39" t="str">
        <f t="shared" si="2"/>
        <v>Medium</v>
      </c>
      <c r="L39" t="str">
        <f t="shared" si="3"/>
        <v>Good</v>
      </c>
    </row>
    <row r="40" spans="1:12" x14ac:dyDescent="0.3">
      <c r="A40">
        <v>2039</v>
      </c>
      <c r="B40" s="1">
        <v>46092</v>
      </c>
      <c r="C40" t="s">
        <v>18</v>
      </c>
      <c r="D40" t="s">
        <v>16</v>
      </c>
      <c r="E40">
        <v>3</v>
      </c>
      <c r="F40" t="s">
        <v>19</v>
      </c>
      <c r="G40">
        <v>4</v>
      </c>
      <c r="H40" t="s">
        <v>22</v>
      </c>
      <c r="I40" t="s">
        <v>20</v>
      </c>
      <c r="J40">
        <v>1053</v>
      </c>
      <c r="K40" t="str">
        <f t="shared" si="2"/>
        <v>Fast</v>
      </c>
      <c r="L40" t="str">
        <f t="shared" si="3"/>
        <v>Good</v>
      </c>
    </row>
    <row r="41" spans="1:12" x14ac:dyDescent="0.3">
      <c r="A41">
        <v>2040</v>
      </c>
      <c r="B41" s="1">
        <v>46093</v>
      </c>
      <c r="C41" t="s">
        <v>10</v>
      </c>
      <c r="D41" t="s">
        <v>16</v>
      </c>
      <c r="E41">
        <v>1</v>
      </c>
      <c r="F41" t="s">
        <v>25</v>
      </c>
      <c r="G41">
        <v>3</v>
      </c>
      <c r="H41" t="s">
        <v>22</v>
      </c>
      <c r="I41" t="s">
        <v>20</v>
      </c>
      <c r="J41">
        <v>4346</v>
      </c>
      <c r="K41" t="str">
        <f t="shared" si="2"/>
        <v>Fast</v>
      </c>
      <c r="L41" t="str">
        <f t="shared" si="3"/>
        <v>Average</v>
      </c>
    </row>
    <row r="42" spans="1:12" x14ac:dyDescent="0.3">
      <c r="A42">
        <v>2041</v>
      </c>
      <c r="B42" s="1">
        <v>46094</v>
      </c>
      <c r="C42" t="s">
        <v>10</v>
      </c>
      <c r="D42" t="s">
        <v>16</v>
      </c>
      <c r="E42">
        <v>5</v>
      </c>
      <c r="F42" t="s">
        <v>19</v>
      </c>
      <c r="G42">
        <v>4</v>
      </c>
      <c r="H42" t="s">
        <v>22</v>
      </c>
      <c r="I42" t="s">
        <v>23</v>
      </c>
      <c r="J42">
        <v>3936</v>
      </c>
      <c r="K42" t="str">
        <f t="shared" si="2"/>
        <v>Medium</v>
      </c>
      <c r="L42" t="str">
        <f t="shared" si="3"/>
        <v>Good</v>
      </c>
    </row>
    <row r="43" spans="1:12" x14ac:dyDescent="0.3">
      <c r="A43">
        <v>2042</v>
      </c>
      <c r="B43" s="1">
        <v>46095</v>
      </c>
      <c r="C43" t="s">
        <v>10</v>
      </c>
      <c r="D43" t="s">
        <v>16</v>
      </c>
      <c r="E43">
        <v>7</v>
      </c>
      <c r="F43" t="s">
        <v>19</v>
      </c>
      <c r="G43">
        <v>3</v>
      </c>
      <c r="H43" t="s">
        <v>22</v>
      </c>
      <c r="I43" t="s">
        <v>20</v>
      </c>
      <c r="J43">
        <v>3969</v>
      </c>
      <c r="K43" t="str">
        <f t="shared" si="2"/>
        <v>Slow</v>
      </c>
      <c r="L43" t="str">
        <f t="shared" si="3"/>
        <v>Average</v>
      </c>
    </row>
    <row r="44" spans="1:12" x14ac:dyDescent="0.3">
      <c r="A44">
        <v>2043</v>
      </c>
      <c r="B44" s="1">
        <v>46096</v>
      </c>
      <c r="C44" t="s">
        <v>24</v>
      </c>
      <c r="D44" t="s">
        <v>16</v>
      </c>
      <c r="E44">
        <v>7</v>
      </c>
      <c r="F44" t="s">
        <v>12</v>
      </c>
      <c r="G44">
        <v>2</v>
      </c>
      <c r="H44" t="s">
        <v>22</v>
      </c>
      <c r="I44" t="s">
        <v>14</v>
      </c>
      <c r="J44">
        <v>774</v>
      </c>
      <c r="K44" t="str">
        <f t="shared" si="2"/>
        <v>Slow</v>
      </c>
      <c r="L44" t="str">
        <f t="shared" si="3"/>
        <v>Poor</v>
      </c>
    </row>
    <row r="45" spans="1:12" x14ac:dyDescent="0.3">
      <c r="A45">
        <v>2044</v>
      </c>
      <c r="B45" s="1">
        <v>46097</v>
      </c>
      <c r="C45" t="s">
        <v>15</v>
      </c>
      <c r="D45" t="s">
        <v>11</v>
      </c>
      <c r="E45">
        <v>9</v>
      </c>
      <c r="F45" t="s">
        <v>25</v>
      </c>
      <c r="G45">
        <v>3</v>
      </c>
      <c r="H45" t="s">
        <v>17</v>
      </c>
      <c r="I45" t="s">
        <v>14</v>
      </c>
      <c r="J45">
        <v>3461</v>
      </c>
      <c r="K45" t="str">
        <f t="shared" si="2"/>
        <v>Slow</v>
      </c>
      <c r="L45" t="str">
        <f t="shared" si="3"/>
        <v>Average</v>
      </c>
    </row>
    <row r="46" spans="1:12" x14ac:dyDescent="0.3">
      <c r="A46">
        <v>2045</v>
      </c>
      <c r="B46" s="1">
        <v>46098</v>
      </c>
      <c r="C46" t="s">
        <v>15</v>
      </c>
      <c r="D46" t="s">
        <v>11</v>
      </c>
      <c r="E46">
        <v>3</v>
      </c>
      <c r="F46" t="s">
        <v>12</v>
      </c>
      <c r="G46">
        <v>3</v>
      </c>
      <c r="H46" t="s">
        <v>13</v>
      </c>
      <c r="I46" t="s">
        <v>20</v>
      </c>
      <c r="J46">
        <v>1348</v>
      </c>
      <c r="K46" t="str">
        <f t="shared" si="2"/>
        <v>Fast</v>
      </c>
      <c r="L46" t="str">
        <f t="shared" si="3"/>
        <v>Average</v>
      </c>
    </row>
    <row r="47" spans="1:12" x14ac:dyDescent="0.3">
      <c r="A47">
        <v>2046</v>
      </c>
      <c r="B47" s="1">
        <v>46099</v>
      </c>
      <c r="C47" t="s">
        <v>15</v>
      </c>
      <c r="D47" t="s">
        <v>16</v>
      </c>
      <c r="E47">
        <v>7</v>
      </c>
      <c r="F47" t="s">
        <v>12</v>
      </c>
      <c r="G47">
        <v>4</v>
      </c>
      <c r="H47" t="s">
        <v>13</v>
      </c>
      <c r="I47" t="s">
        <v>14</v>
      </c>
      <c r="J47">
        <v>1915</v>
      </c>
      <c r="K47" t="str">
        <f t="shared" si="2"/>
        <v>Slow</v>
      </c>
      <c r="L47" t="str">
        <f t="shared" si="3"/>
        <v>Good</v>
      </c>
    </row>
    <row r="48" spans="1:12" x14ac:dyDescent="0.3">
      <c r="A48">
        <v>2047</v>
      </c>
      <c r="B48" s="1">
        <v>46100</v>
      </c>
      <c r="C48" t="s">
        <v>15</v>
      </c>
      <c r="D48" t="s">
        <v>11</v>
      </c>
      <c r="E48">
        <v>1</v>
      </c>
      <c r="F48" t="s">
        <v>25</v>
      </c>
      <c r="G48">
        <v>4</v>
      </c>
      <c r="H48" t="s">
        <v>13</v>
      </c>
      <c r="I48" t="s">
        <v>20</v>
      </c>
      <c r="J48">
        <v>4977</v>
      </c>
      <c r="K48" t="str">
        <f t="shared" si="2"/>
        <v>Fast</v>
      </c>
      <c r="L48" t="str">
        <f t="shared" si="3"/>
        <v>Good</v>
      </c>
    </row>
    <row r="49" spans="1:12" x14ac:dyDescent="0.3">
      <c r="A49">
        <v>2048</v>
      </c>
      <c r="B49" s="1">
        <v>46101</v>
      </c>
      <c r="C49" t="s">
        <v>10</v>
      </c>
      <c r="D49" t="s">
        <v>21</v>
      </c>
      <c r="E49">
        <v>4</v>
      </c>
      <c r="F49" t="s">
        <v>19</v>
      </c>
      <c r="G49">
        <v>1</v>
      </c>
      <c r="H49" t="s">
        <v>13</v>
      </c>
      <c r="I49" t="s">
        <v>20</v>
      </c>
      <c r="J49">
        <v>4054</v>
      </c>
      <c r="K49" t="str">
        <f t="shared" si="2"/>
        <v>Medium</v>
      </c>
      <c r="L49" t="str">
        <f t="shared" si="3"/>
        <v>Poor</v>
      </c>
    </row>
    <row r="50" spans="1:12" x14ac:dyDescent="0.3">
      <c r="A50">
        <v>2049</v>
      </c>
      <c r="B50" s="1">
        <v>46102</v>
      </c>
      <c r="C50" t="s">
        <v>24</v>
      </c>
      <c r="D50" t="s">
        <v>16</v>
      </c>
      <c r="E50">
        <v>4</v>
      </c>
      <c r="F50" t="s">
        <v>19</v>
      </c>
      <c r="G50">
        <v>1</v>
      </c>
      <c r="H50" t="s">
        <v>22</v>
      </c>
      <c r="I50" t="s">
        <v>14</v>
      </c>
      <c r="J50">
        <v>2691</v>
      </c>
      <c r="K50" t="str">
        <f t="shared" si="2"/>
        <v>Medium</v>
      </c>
      <c r="L50" t="str">
        <f t="shared" si="3"/>
        <v>Poor</v>
      </c>
    </row>
    <row r="51" spans="1:12" x14ac:dyDescent="0.3">
      <c r="A51">
        <v>2050</v>
      </c>
      <c r="B51" s="1">
        <v>46103</v>
      </c>
      <c r="C51" t="s">
        <v>24</v>
      </c>
      <c r="D51" t="s">
        <v>21</v>
      </c>
      <c r="E51">
        <v>5</v>
      </c>
      <c r="F51" t="s">
        <v>25</v>
      </c>
      <c r="G51">
        <v>2</v>
      </c>
      <c r="H51" t="s">
        <v>13</v>
      </c>
      <c r="I51" t="s">
        <v>20</v>
      </c>
      <c r="J51">
        <v>2860</v>
      </c>
      <c r="K51" t="str">
        <f t="shared" si="2"/>
        <v>Medium</v>
      </c>
      <c r="L51" t="str">
        <f t="shared" si="3"/>
        <v>Poor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roy</dc:creator>
  <cp:lastModifiedBy>vishakha roy</cp:lastModifiedBy>
  <cp:lastPrinted>2026-03-24T09:31:48Z</cp:lastPrinted>
  <dcterms:created xsi:type="dcterms:W3CDTF">2026-03-24T09:32:15Z</dcterms:created>
  <dcterms:modified xsi:type="dcterms:W3CDTF">2026-03-24T09:37:43Z</dcterms:modified>
</cp:coreProperties>
</file>